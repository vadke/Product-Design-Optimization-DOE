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itadke/Documents/My Documents/MS Docs/Syllabus MSBA/Q2/SCM 517 - Business Process Analytics/Lego Project/"/>
    </mc:Choice>
  </mc:AlternateContent>
  <xr:revisionPtr revIDLastSave="0" documentId="13_ncr:1_{1A619323-6519-444E-BD6E-D98FC92C48F0}" xr6:coauthVersionLast="47" xr6:coauthVersionMax="47" xr10:uidLastSave="{00000000-0000-0000-0000-000000000000}"/>
  <bookViews>
    <workbookView xWindow="160" yWindow="940" windowWidth="16860" windowHeight="19820" xr2:uid="{3E04D22D-09A9-2347-B81F-858754FC5C76}"/>
  </bookViews>
  <sheets>
    <sheet name="Sheet1" sheetId="1" r:id="rId1"/>
    <sheet name="Sheet2" sheetId="2" r:id="rId2"/>
  </sheets>
  <definedNames>
    <definedName name="_xlnm._FilterDatabase" localSheetId="1" hidden="1">Sheet2!$A$1:$K$49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J25" i="1"/>
  <c r="J26" i="1"/>
  <c r="J23" i="1"/>
  <c r="E53" i="1"/>
  <c r="E52" i="1"/>
  <c r="E51" i="1"/>
  <c r="E50" i="1"/>
  <c r="E49" i="1"/>
  <c r="E48" i="1"/>
  <c r="E47" i="1"/>
  <c r="K25" i="1"/>
  <c r="E45" i="1"/>
  <c r="E44" i="1"/>
  <c r="E43" i="1"/>
  <c r="E42" i="1"/>
  <c r="E41" i="1"/>
  <c r="E40" i="1"/>
  <c r="E39" i="1"/>
  <c r="K26" i="1"/>
  <c r="E32" i="1"/>
  <c r="E33" i="1"/>
  <c r="E34" i="1"/>
  <c r="E35" i="1"/>
  <c r="E36" i="1"/>
  <c r="E37" i="1"/>
  <c r="E31" i="1"/>
  <c r="E38" i="1" s="1"/>
  <c r="E46" i="1" l="1"/>
</calcChain>
</file>

<file path=xl/sharedStrings.xml><?xml version="1.0" encoding="utf-8"?>
<sst xmlns="http://schemas.openxmlformats.org/spreadsheetml/2006/main" count="324" uniqueCount="38">
  <si>
    <t>Big</t>
  </si>
  <si>
    <t>Front</t>
  </si>
  <si>
    <t>Small</t>
  </si>
  <si>
    <t>`</t>
  </si>
  <si>
    <t>Large</t>
  </si>
  <si>
    <t>Back</t>
  </si>
  <si>
    <t>Length</t>
  </si>
  <si>
    <t>Centre of Gravity</t>
  </si>
  <si>
    <t>Width</t>
  </si>
  <si>
    <t>Tyre Size</t>
  </si>
  <si>
    <t xml:space="preserve">Length Costing </t>
  </si>
  <si>
    <t xml:space="preserve">Length </t>
  </si>
  <si>
    <t xml:space="preserve">Width </t>
  </si>
  <si>
    <t xml:space="preserve">Front </t>
  </si>
  <si>
    <t xml:space="preserve">Tyre Size </t>
  </si>
  <si>
    <t xml:space="preserve">Total Cost </t>
  </si>
  <si>
    <t xml:space="preserve">Back </t>
  </si>
  <si>
    <t>Distance 1st iteration</t>
  </si>
  <si>
    <t>Distance 2nd Iteration</t>
  </si>
  <si>
    <t>Distance 3rd iteration</t>
  </si>
  <si>
    <t xml:space="preserve">Avg Distance </t>
  </si>
  <si>
    <t xml:space="preserve">No of pieces used </t>
  </si>
  <si>
    <t xml:space="preserve">Dimension </t>
  </si>
  <si>
    <t>Nos</t>
  </si>
  <si>
    <t xml:space="preserve">Cost </t>
  </si>
  <si>
    <t>4*6 Base</t>
  </si>
  <si>
    <t xml:space="preserve">Stearing </t>
  </si>
  <si>
    <t>Small Windshield</t>
  </si>
  <si>
    <t xml:space="preserve">Bigwheels </t>
  </si>
  <si>
    <t xml:space="preserve">Single wheel holder </t>
  </si>
  <si>
    <t xml:space="preserve">Spoiler </t>
  </si>
  <si>
    <t xml:space="preserve">4*2 Blocks </t>
  </si>
  <si>
    <t xml:space="preserve">Length - Big, Centre of Gravity - Back, Width Large, Tyre Size - Big </t>
  </si>
  <si>
    <t>Length - Big, Centre of Gravity - Back, Width Large, Tyre Size - Small</t>
  </si>
  <si>
    <t xml:space="preserve">Small Wheels </t>
  </si>
  <si>
    <t>Length - Big, Centre of Gravity - Front, Width Large, Tyre Size - Big</t>
  </si>
  <si>
    <t>Distance</t>
  </si>
  <si>
    <t>Load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</si>
</sst>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5A2B-B459-8A4B-822C-9346D1E4F6DF}">
  <dimension ref="A1:K68"/>
  <sheetViews>
    <sheetView tabSelected="1" topLeftCell="A12" zoomScale="94" zoomScaleNormal="140" workbookViewId="0">
      <selection activeCell="M36" sqref="M36"/>
    </sheetView>
  </sheetViews>
  <sheetFormatPr baseColWidth="10" defaultRowHeight="16" x14ac:dyDescent="0.2"/>
  <cols>
    <col min="1" max="1" width="13.33203125" bestFit="1" customWidth="1"/>
    <col min="2" max="2" width="17.1640625" bestFit="1" customWidth="1"/>
    <col min="4" max="4" width="14.83203125" bestFit="1" customWidth="1"/>
    <col min="7" max="7" width="11.1640625" hidden="1" customWidth="1"/>
    <col min="8" max="8" width="12.33203125" hidden="1" customWidth="1"/>
    <col min="9" max="9" width="11.33203125" hidden="1" customWidth="1"/>
    <col min="10" max="10" width="11.83203125" bestFit="1" customWidth="1"/>
  </cols>
  <sheetData>
    <row r="1" spans="1:8" x14ac:dyDescent="0.2">
      <c r="C1" t="s">
        <v>6</v>
      </c>
      <c r="D1" t="s">
        <v>7</v>
      </c>
      <c r="E1" t="s">
        <v>8</v>
      </c>
      <c r="F1" t="s">
        <v>9</v>
      </c>
      <c r="G1" s="8" t="s">
        <v>10</v>
      </c>
      <c r="H1" s="8"/>
    </row>
    <row r="2" spans="1:8" x14ac:dyDescent="0.2">
      <c r="G2" t="s">
        <v>21</v>
      </c>
    </row>
    <row r="3" spans="1:8" x14ac:dyDescent="0.2">
      <c r="A3">
        <v>1</v>
      </c>
      <c r="B3">
        <v>1</v>
      </c>
      <c r="C3" t="s">
        <v>0</v>
      </c>
      <c r="D3" t="s">
        <v>1</v>
      </c>
      <c r="E3" t="s">
        <v>2</v>
      </c>
      <c r="F3" t="s">
        <v>0</v>
      </c>
      <c r="H3" t="s">
        <v>3</v>
      </c>
    </row>
    <row r="4" spans="1:8" x14ac:dyDescent="0.2">
      <c r="A4">
        <v>1</v>
      </c>
      <c r="B4">
        <v>1</v>
      </c>
      <c r="C4" t="s">
        <v>0</v>
      </c>
      <c r="D4" t="s">
        <v>1</v>
      </c>
      <c r="E4" t="s">
        <v>4</v>
      </c>
      <c r="F4" t="s">
        <v>2</v>
      </c>
    </row>
    <row r="5" spans="1:8" x14ac:dyDescent="0.2">
      <c r="A5">
        <v>1</v>
      </c>
      <c r="B5">
        <v>1</v>
      </c>
      <c r="C5" t="s">
        <v>2</v>
      </c>
      <c r="D5" t="s">
        <v>1</v>
      </c>
      <c r="E5" t="s">
        <v>4</v>
      </c>
      <c r="F5" t="s">
        <v>0</v>
      </c>
    </row>
    <row r="6" spans="1:8" x14ac:dyDescent="0.2">
      <c r="A6">
        <v>1</v>
      </c>
      <c r="B6">
        <v>1</v>
      </c>
      <c r="C6" t="s">
        <v>2</v>
      </c>
      <c r="D6" t="s">
        <v>5</v>
      </c>
      <c r="E6" t="s">
        <v>4</v>
      </c>
      <c r="F6" t="s">
        <v>0</v>
      </c>
    </row>
    <row r="7" spans="1:8" x14ac:dyDescent="0.2">
      <c r="A7">
        <v>1</v>
      </c>
      <c r="B7">
        <v>1</v>
      </c>
      <c r="C7" t="s">
        <v>2</v>
      </c>
      <c r="D7" t="s">
        <v>5</v>
      </c>
      <c r="E7" t="s">
        <v>2</v>
      </c>
      <c r="F7" t="s">
        <v>2</v>
      </c>
    </row>
    <row r="8" spans="1:8" x14ac:dyDescent="0.2">
      <c r="A8">
        <v>1</v>
      </c>
      <c r="B8">
        <v>1</v>
      </c>
      <c r="C8" t="s">
        <v>0</v>
      </c>
      <c r="D8" t="s">
        <v>5</v>
      </c>
      <c r="E8" t="s">
        <v>2</v>
      </c>
      <c r="F8" t="s">
        <v>2</v>
      </c>
    </row>
    <row r="9" spans="1:8" x14ac:dyDescent="0.2">
      <c r="A9">
        <v>1</v>
      </c>
      <c r="B9">
        <v>1</v>
      </c>
      <c r="C9" t="s">
        <v>0</v>
      </c>
      <c r="D9" t="s">
        <v>5</v>
      </c>
      <c r="E9" t="s">
        <v>4</v>
      </c>
      <c r="F9" t="s">
        <v>2</v>
      </c>
    </row>
    <row r="10" spans="1:8" x14ac:dyDescent="0.2">
      <c r="A10">
        <v>1</v>
      </c>
      <c r="B10">
        <v>1</v>
      </c>
      <c r="C10" t="s">
        <v>2</v>
      </c>
      <c r="D10" t="s">
        <v>5</v>
      </c>
      <c r="E10" t="s">
        <v>4</v>
      </c>
      <c r="F10" t="s">
        <v>2</v>
      </c>
    </row>
    <row r="11" spans="1:8" x14ac:dyDescent="0.2">
      <c r="A11">
        <v>1</v>
      </c>
      <c r="B11">
        <v>1</v>
      </c>
      <c r="C11" t="s">
        <v>0</v>
      </c>
      <c r="D11" t="s">
        <v>1</v>
      </c>
      <c r="E11" t="s">
        <v>2</v>
      </c>
      <c r="F11" t="s">
        <v>2</v>
      </c>
    </row>
    <row r="12" spans="1:8" x14ac:dyDescent="0.2">
      <c r="A12">
        <v>1</v>
      </c>
      <c r="B12">
        <v>1</v>
      </c>
      <c r="C12" t="s">
        <v>0</v>
      </c>
      <c r="D12" t="s">
        <v>5</v>
      </c>
      <c r="E12" t="s">
        <v>2</v>
      </c>
      <c r="F12" t="s">
        <v>0</v>
      </c>
    </row>
    <row r="13" spans="1:8" x14ac:dyDescent="0.2">
      <c r="A13">
        <v>1</v>
      </c>
      <c r="B13">
        <v>1</v>
      </c>
      <c r="C13" t="s">
        <v>2</v>
      </c>
      <c r="D13" t="s">
        <v>5</v>
      </c>
      <c r="E13" t="s">
        <v>2</v>
      </c>
      <c r="F13" t="s">
        <v>0</v>
      </c>
    </row>
    <row r="14" spans="1:8" x14ac:dyDescent="0.2">
      <c r="A14">
        <v>1</v>
      </c>
      <c r="B14">
        <v>1</v>
      </c>
      <c r="C14" t="s">
        <v>2</v>
      </c>
      <c r="D14" t="s">
        <v>1</v>
      </c>
      <c r="E14" t="s">
        <v>2</v>
      </c>
      <c r="F14" t="s">
        <v>0</v>
      </c>
    </row>
    <row r="15" spans="1:8" x14ac:dyDescent="0.2">
      <c r="A15">
        <v>1</v>
      </c>
      <c r="B15">
        <v>1</v>
      </c>
      <c r="C15" t="s">
        <v>0</v>
      </c>
      <c r="D15" t="s">
        <v>5</v>
      </c>
      <c r="E15" t="s">
        <v>4</v>
      </c>
      <c r="F15" t="s">
        <v>0</v>
      </c>
    </row>
    <row r="16" spans="1:8" x14ac:dyDescent="0.2">
      <c r="A16">
        <v>1</v>
      </c>
      <c r="B16">
        <v>1</v>
      </c>
      <c r="C16" t="s">
        <v>2</v>
      </c>
      <c r="D16" t="s">
        <v>1</v>
      </c>
      <c r="E16" t="s">
        <v>4</v>
      </c>
      <c r="F16" t="s">
        <v>2</v>
      </c>
    </row>
    <row r="17" spans="1:11" x14ac:dyDescent="0.2">
      <c r="A17">
        <v>1</v>
      </c>
      <c r="B17">
        <v>1</v>
      </c>
      <c r="C17" t="s">
        <v>2</v>
      </c>
      <c r="D17" t="s">
        <v>1</v>
      </c>
      <c r="E17" t="s">
        <v>2</v>
      </c>
      <c r="F17" t="s">
        <v>2</v>
      </c>
    </row>
    <row r="18" spans="1:11" x14ac:dyDescent="0.2">
      <c r="A18">
        <v>1</v>
      </c>
      <c r="B18">
        <v>1</v>
      </c>
      <c r="C18" t="s">
        <v>0</v>
      </c>
      <c r="D18" t="s">
        <v>1</v>
      </c>
      <c r="E18" t="s">
        <v>4</v>
      </c>
      <c r="F18" t="s">
        <v>0</v>
      </c>
    </row>
    <row r="22" spans="1:11" ht="38" customHeight="1" x14ac:dyDescent="0.2">
      <c r="C22" s="1" t="s">
        <v>11</v>
      </c>
      <c r="D22" s="1" t="s">
        <v>37</v>
      </c>
      <c r="E22" s="1" t="s">
        <v>12</v>
      </c>
      <c r="F22" s="1" t="s">
        <v>14</v>
      </c>
      <c r="G22" s="7" t="s">
        <v>17</v>
      </c>
      <c r="H22" s="7" t="s">
        <v>18</v>
      </c>
      <c r="I22" s="7" t="s">
        <v>19</v>
      </c>
      <c r="J22" s="1" t="s">
        <v>20</v>
      </c>
      <c r="K22" s="1" t="s">
        <v>15</v>
      </c>
    </row>
    <row r="23" spans="1:11" x14ac:dyDescent="0.2">
      <c r="C23" s="1" t="s">
        <v>0</v>
      </c>
      <c r="D23" s="1" t="s">
        <v>13</v>
      </c>
      <c r="E23" s="1" t="s">
        <v>4</v>
      </c>
      <c r="F23" s="1" t="s">
        <v>2</v>
      </c>
      <c r="G23" s="1">
        <v>169</v>
      </c>
      <c r="H23" s="1">
        <v>131</v>
      </c>
      <c r="I23" s="1">
        <v>147</v>
      </c>
      <c r="J23" s="1">
        <f>AVERAGE(G23:I23)</f>
        <v>149</v>
      </c>
      <c r="K23" s="1">
        <v>23800</v>
      </c>
    </row>
    <row r="24" spans="1:11" x14ac:dyDescent="0.2">
      <c r="C24" s="1" t="s">
        <v>0</v>
      </c>
      <c r="D24" s="1" t="s">
        <v>13</v>
      </c>
      <c r="E24" s="1" t="s">
        <v>4</v>
      </c>
      <c r="F24" s="1" t="s">
        <v>0</v>
      </c>
      <c r="G24" s="1">
        <v>141</v>
      </c>
      <c r="H24" s="1">
        <v>136</v>
      </c>
      <c r="I24" s="1">
        <v>130</v>
      </c>
      <c r="J24" s="1">
        <f t="shared" ref="J24:J26" si="0">AVERAGE(G24:I24)</f>
        <v>135.66666666666666</v>
      </c>
      <c r="K24" s="1">
        <v>28600</v>
      </c>
    </row>
    <row r="25" spans="1:11" x14ac:dyDescent="0.2">
      <c r="C25" s="3" t="s">
        <v>0</v>
      </c>
      <c r="D25" s="3" t="s">
        <v>16</v>
      </c>
      <c r="E25" s="3" t="s">
        <v>4</v>
      </c>
      <c r="F25" s="3" t="s">
        <v>2</v>
      </c>
      <c r="G25" s="3">
        <v>162</v>
      </c>
      <c r="H25" s="3">
        <v>145</v>
      </c>
      <c r="I25" s="3">
        <v>147</v>
      </c>
      <c r="J25" s="3">
        <f t="shared" si="0"/>
        <v>151.33333333333334</v>
      </c>
      <c r="K25" s="3">
        <f>E46</f>
        <v>23800</v>
      </c>
    </row>
    <row r="26" spans="1:11" x14ac:dyDescent="0.2">
      <c r="C26" s="1" t="s">
        <v>0</v>
      </c>
      <c r="D26" s="1" t="s">
        <v>16</v>
      </c>
      <c r="E26" s="1" t="s">
        <v>4</v>
      </c>
      <c r="F26" s="1" t="s">
        <v>0</v>
      </c>
      <c r="G26" s="1">
        <v>145</v>
      </c>
      <c r="H26" s="1">
        <v>150</v>
      </c>
      <c r="I26" s="1">
        <v>134</v>
      </c>
      <c r="J26" s="1">
        <f t="shared" si="0"/>
        <v>143</v>
      </c>
      <c r="K26" s="1">
        <f>E38</f>
        <v>28600</v>
      </c>
    </row>
    <row r="30" spans="1:11" x14ac:dyDescent="0.2">
      <c r="A30" s="9" t="s">
        <v>32</v>
      </c>
      <c r="B30" s="1" t="s">
        <v>22</v>
      </c>
      <c r="C30" s="1" t="s">
        <v>23</v>
      </c>
      <c r="D30" s="1" t="s">
        <v>24</v>
      </c>
      <c r="E30" s="1" t="s">
        <v>15</v>
      </c>
    </row>
    <row r="31" spans="1:11" x14ac:dyDescent="0.2">
      <c r="A31" s="10"/>
      <c r="B31" t="s">
        <v>25</v>
      </c>
      <c r="C31" s="1">
        <v>5</v>
      </c>
      <c r="D31" s="1">
        <v>2000</v>
      </c>
      <c r="E31" s="1">
        <f>D31*C31</f>
        <v>10000</v>
      </c>
    </row>
    <row r="32" spans="1:11" x14ac:dyDescent="0.2">
      <c r="A32" s="10"/>
      <c r="B32" s="1" t="s">
        <v>26</v>
      </c>
      <c r="C32" s="1">
        <v>1</v>
      </c>
      <c r="D32" s="1">
        <v>100</v>
      </c>
      <c r="E32" s="1">
        <f t="shared" ref="E32:E37" si="1">D32*C32</f>
        <v>100</v>
      </c>
    </row>
    <row r="33" spans="1:5" x14ac:dyDescent="0.2">
      <c r="A33" s="10"/>
      <c r="B33" s="1" t="s">
        <v>27</v>
      </c>
      <c r="C33" s="1">
        <v>1</v>
      </c>
      <c r="D33" s="1">
        <v>500</v>
      </c>
      <c r="E33" s="1">
        <f t="shared" si="1"/>
        <v>500</v>
      </c>
    </row>
    <row r="34" spans="1:5" x14ac:dyDescent="0.2">
      <c r="A34" s="10"/>
      <c r="B34" s="1" t="s">
        <v>28</v>
      </c>
      <c r="C34" s="1">
        <v>4</v>
      </c>
      <c r="D34" s="1">
        <v>2200</v>
      </c>
      <c r="E34" s="1">
        <f t="shared" si="1"/>
        <v>8800</v>
      </c>
    </row>
    <row r="35" spans="1:5" x14ac:dyDescent="0.2">
      <c r="A35" s="10"/>
      <c r="B35" s="1" t="s">
        <v>29</v>
      </c>
      <c r="C35" s="1">
        <v>4</v>
      </c>
      <c r="D35" s="1">
        <v>1000</v>
      </c>
      <c r="E35" s="1">
        <f t="shared" si="1"/>
        <v>4000</v>
      </c>
    </row>
    <row r="36" spans="1:5" x14ac:dyDescent="0.2">
      <c r="A36" s="10"/>
      <c r="B36" s="1" t="s">
        <v>30</v>
      </c>
      <c r="C36" s="1">
        <v>2</v>
      </c>
      <c r="D36" s="1">
        <v>100</v>
      </c>
      <c r="E36" s="1">
        <f t="shared" si="1"/>
        <v>200</v>
      </c>
    </row>
    <row r="37" spans="1:5" x14ac:dyDescent="0.2">
      <c r="A37" s="11"/>
      <c r="B37" s="1" t="s">
        <v>31</v>
      </c>
      <c r="C37" s="1">
        <v>5</v>
      </c>
      <c r="D37" s="1">
        <v>1000</v>
      </c>
      <c r="E37" s="1">
        <f t="shared" si="1"/>
        <v>5000</v>
      </c>
    </row>
    <row r="38" spans="1:5" x14ac:dyDescent="0.2">
      <c r="A38" s="5" t="s">
        <v>15</v>
      </c>
      <c r="B38" s="1"/>
      <c r="C38" s="1"/>
      <c r="D38" s="1"/>
      <c r="E38" s="3">
        <f>SUM(E31:E37)</f>
        <v>28600</v>
      </c>
    </row>
    <row r="39" spans="1:5" ht="16" customHeight="1" x14ac:dyDescent="0.2">
      <c r="A39" s="12" t="s">
        <v>33</v>
      </c>
      <c r="B39" t="s">
        <v>25</v>
      </c>
      <c r="C39" s="1">
        <v>5</v>
      </c>
      <c r="D39" s="1">
        <v>2000</v>
      </c>
      <c r="E39" s="1">
        <f>D39*C39</f>
        <v>10000</v>
      </c>
    </row>
    <row r="40" spans="1:5" x14ac:dyDescent="0.2">
      <c r="A40" s="13"/>
      <c r="B40" s="1" t="s">
        <v>26</v>
      </c>
      <c r="C40" s="1">
        <v>1</v>
      </c>
      <c r="D40" s="1">
        <v>100</v>
      </c>
      <c r="E40" s="1">
        <f t="shared" ref="E40:E45" si="2">D40*C40</f>
        <v>100</v>
      </c>
    </row>
    <row r="41" spans="1:5" x14ac:dyDescent="0.2">
      <c r="A41" s="13"/>
      <c r="B41" s="1" t="s">
        <v>27</v>
      </c>
      <c r="C41" s="1">
        <v>1</v>
      </c>
      <c r="D41" s="1">
        <v>500</v>
      </c>
      <c r="E41" s="1">
        <f t="shared" si="2"/>
        <v>500</v>
      </c>
    </row>
    <row r="42" spans="1:5" x14ac:dyDescent="0.2">
      <c r="A42" s="13"/>
      <c r="B42" s="1" t="s">
        <v>34</v>
      </c>
      <c r="C42" s="1">
        <v>4</v>
      </c>
      <c r="D42" s="1">
        <v>1000</v>
      </c>
      <c r="E42" s="1">
        <f t="shared" si="2"/>
        <v>4000</v>
      </c>
    </row>
    <row r="43" spans="1:5" x14ac:dyDescent="0.2">
      <c r="A43" s="13"/>
      <c r="B43" s="1" t="s">
        <v>29</v>
      </c>
      <c r="C43" s="1">
        <v>4</v>
      </c>
      <c r="D43" s="1">
        <v>1000</v>
      </c>
      <c r="E43" s="1">
        <f t="shared" si="2"/>
        <v>4000</v>
      </c>
    </row>
    <row r="44" spans="1:5" x14ac:dyDescent="0.2">
      <c r="A44" s="13"/>
      <c r="B44" s="1" t="s">
        <v>30</v>
      </c>
      <c r="C44" s="1">
        <v>2</v>
      </c>
      <c r="D44" s="1">
        <v>100</v>
      </c>
      <c r="E44" s="1">
        <f t="shared" si="2"/>
        <v>200</v>
      </c>
    </row>
    <row r="45" spans="1:5" x14ac:dyDescent="0.2">
      <c r="A45" s="14"/>
      <c r="B45" s="1" t="s">
        <v>31</v>
      </c>
      <c r="C45" s="1">
        <v>5</v>
      </c>
      <c r="D45" s="1">
        <v>1000</v>
      </c>
      <c r="E45" s="1">
        <f t="shared" si="2"/>
        <v>5000</v>
      </c>
    </row>
    <row r="46" spans="1:5" ht="16" customHeight="1" x14ac:dyDescent="0.2">
      <c r="A46" s="6" t="s">
        <v>15</v>
      </c>
      <c r="B46" s="1"/>
      <c r="C46" s="1"/>
      <c r="D46" s="1"/>
      <c r="E46" s="3">
        <f>SUM(E39:E45)</f>
        <v>23800</v>
      </c>
    </row>
    <row r="47" spans="1:5" x14ac:dyDescent="0.2">
      <c r="A47" s="12" t="s">
        <v>35</v>
      </c>
      <c r="B47" t="s">
        <v>25</v>
      </c>
      <c r="C47" s="1">
        <v>5</v>
      </c>
      <c r="D47" s="1">
        <v>2000</v>
      </c>
      <c r="E47" s="1">
        <f>D47*C47</f>
        <v>10000</v>
      </c>
    </row>
    <row r="48" spans="1:5" x14ac:dyDescent="0.2">
      <c r="A48" s="13"/>
      <c r="B48" s="1" t="s">
        <v>26</v>
      </c>
      <c r="C48" s="1">
        <v>1</v>
      </c>
      <c r="D48" s="1">
        <v>100</v>
      </c>
      <c r="E48" s="1">
        <f t="shared" ref="E48:E53" si="3">D48*C48</f>
        <v>100</v>
      </c>
    </row>
    <row r="49" spans="1:5" x14ac:dyDescent="0.2">
      <c r="A49" s="13"/>
      <c r="B49" s="1" t="s">
        <v>27</v>
      </c>
      <c r="C49" s="1">
        <v>1</v>
      </c>
      <c r="D49" s="1">
        <v>500</v>
      </c>
      <c r="E49" s="1">
        <f t="shared" si="3"/>
        <v>500</v>
      </c>
    </row>
    <row r="50" spans="1:5" x14ac:dyDescent="0.2">
      <c r="A50" s="13"/>
      <c r="B50" s="1" t="s">
        <v>34</v>
      </c>
      <c r="C50" s="1">
        <v>4</v>
      </c>
      <c r="D50" s="1">
        <v>1000</v>
      </c>
      <c r="E50" s="1">
        <f t="shared" si="3"/>
        <v>4000</v>
      </c>
    </row>
    <row r="51" spans="1:5" x14ac:dyDescent="0.2">
      <c r="A51" s="13"/>
      <c r="B51" s="1" t="s">
        <v>29</v>
      </c>
      <c r="C51" s="1">
        <v>4</v>
      </c>
      <c r="D51" s="1">
        <v>1000</v>
      </c>
      <c r="E51" s="1">
        <f t="shared" si="3"/>
        <v>4000</v>
      </c>
    </row>
    <row r="52" spans="1:5" x14ac:dyDescent="0.2">
      <c r="A52" s="13"/>
      <c r="B52" s="1" t="s">
        <v>30</v>
      </c>
      <c r="C52" s="1">
        <v>2</v>
      </c>
      <c r="D52" s="1">
        <v>100</v>
      </c>
      <c r="E52" s="1">
        <f t="shared" si="3"/>
        <v>200</v>
      </c>
    </row>
    <row r="53" spans="1:5" x14ac:dyDescent="0.2">
      <c r="A53" s="14"/>
      <c r="B53" s="1" t="s">
        <v>31</v>
      </c>
      <c r="C53" s="1">
        <v>5</v>
      </c>
      <c r="D53" s="1">
        <v>1000</v>
      </c>
      <c r="E53" s="1">
        <f t="shared" si="3"/>
        <v>5000</v>
      </c>
    </row>
    <row r="54" spans="1:5" x14ac:dyDescent="0.2">
      <c r="A54" s="4"/>
      <c r="B54" s="1"/>
      <c r="C54" s="1"/>
      <c r="D54" s="1"/>
    </row>
    <row r="55" spans="1:5" x14ac:dyDescent="0.2">
      <c r="A55" s="4"/>
      <c r="B55" s="1"/>
      <c r="C55" s="1"/>
      <c r="D55" s="1"/>
    </row>
    <row r="56" spans="1:5" x14ac:dyDescent="0.2">
      <c r="A56" s="4"/>
      <c r="B56" s="1"/>
      <c r="C56" s="1"/>
      <c r="D56" s="1"/>
    </row>
    <row r="57" spans="1:5" x14ac:dyDescent="0.2">
      <c r="A57" s="4"/>
      <c r="B57" s="1"/>
      <c r="C57" s="1"/>
      <c r="D57" s="1"/>
    </row>
    <row r="58" spans="1:5" x14ac:dyDescent="0.2">
      <c r="A58" s="4"/>
      <c r="B58" s="1"/>
      <c r="C58" s="1"/>
      <c r="D58" s="1"/>
    </row>
    <row r="59" spans="1:5" x14ac:dyDescent="0.2">
      <c r="A59" s="4"/>
      <c r="B59" s="1"/>
      <c r="C59" s="1"/>
      <c r="D59" s="1"/>
    </row>
    <row r="60" spans="1:5" x14ac:dyDescent="0.2">
      <c r="A60" s="4"/>
      <c r="B60" s="1"/>
      <c r="C60" s="1"/>
      <c r="D60" s="1"/>
    </row>
    <row r="61" spans="1:5" x14ac:dyDescent="0.2">
      <c r="A61" s="4"/>
      <c r="B61" s="1"/>
      <c r="C61" s="1"/>
      <c r="D61" s="1"/>
    </row>
    <row r="62" spans="1:5" x14ac:dyDescent="0.2">
      <c r="A62" s="4"/>
      <c r="B62" s="1"/>
      <c r="C62" s="1"/>
      <c r="D62" s="1"/>
    </row>
    <row r="63" spans="1:5" x14ac:dyDescent="0.2">
      <c r="A63" s="4"/>
      <c r="B63" s="1"/>
      <c r="C63" s="1"/>
      <c r="D63" s="1"/>
    </row>
    <row r="64" spans="1:5" x14ac:dyDescent="0.2">
      <c r="A64" s="4"/>
      <c r="B64" s="1"/>
      <c r="C64" s="1"/>
      <c r="D64" s="1"/>
    </row>
    <row r="65" spans="1:4" x14ac:dyDescent="0.2">
      <c r="A65" s="4"/>
      <c r="B65" s="1"/>
      <c r="C65" s="1"/>
      <c r="D65" s="1"/>
    </row>
    <row r="66" spans="1:4" x14ac:dyDescent="0.2">
      <c r="A66" s="4"/>
      <c r="B66" s="1"/>
      <c r="C66" s="1"/>
      <c r="D66" s="1"/>
    </row>
    <row r="67" spans="1:4" x14ac:dyDescent="0.2">
      <c r="A67" s="2"/>
      <c r="B67" s="1"/>
      <c r="C67" s="1"/>
      <c r="D67" s="1"/>
    </row>
    <row r="68" spans="1:4" x14ac:dyDescent="0.2">
      <c r="A68" s="1"/>
      <c r="B68" s="1"/>
      <c r="C68" s="1"/>
      <c r="D68" s="1"/>
    </row>
  </sheetData>
  <mergeCells count="4">
    <mergeCell ref="G1:H1"/>
    <mergeCell ref="A30:A37"/>
    <mergeCell ref="A39:A45"/>
    <mergeCell ref="A47:A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DE14-CCE0-234C-A2E5-4858460C8103}">
  <dimension ref="A1:K49"/>
  <sheetViews>
    <sheetView workbookViewId="0">
      <selection activeCell="G55" sqref="G55"/>
    </sheetView>
  </sheetViews>
  <sheetFormatPr baseColWidth="10" defaultRowHeight="16" x14ac:dyDescent="0.2"/>
  <sheetData>
    <row r="1" spans="1:11" x14ac:dyDescent="0.2">
      <c r="E1" t="s">
        <v>6</v>
      </c>
      <c r="F1" t="s">
        <v>7</v>
      </c>
      <c r="G1" t="s">
        <v>12</v>
      </c>
      <c r="H1" t="s">
        <v>9</v>
      </c>
      <c r="I1" t="s">
        <v>36</v>
      </c>
    </row>
    <row r="2" spans="1:11" x14ac:dyDescent="0.2">
      <c r="A2">
        <v>42</v>
      </c>
      <c r="B2">
        <v>1</v>
      </c>
      <c r="C2">
        <v>1</v>
      </c>
      <c r="D2">
        <v>1</v>
      </c>
      <c r="E2" t="s">
        <v>0</v>
      </c>
      <c r="F2" t="s">
        <v>1</v>
      </c>
      <c r="G2" t="s">
        <v>2</v>
      </c>
      <c r="H2" t="s">
        <v>0</v>
      </c>
      <c r="I2">
        <v>106</v>
      </c>
      <c r="K2" t="s">
        <v>3</v>
      </c>
    </row>
    <row r="3" spans="1:11" x14ac:dyDescent="0.2">
      <c r="A3">
        <v>38</v>
      </c>
      <c r="B3">
        <v>2</v>
      </c>
      <c r="C3">
        <v>1</v>
      </c>
      <c r="D3">
        <v>1</v>
      </c>
      <c r="E3" t="s">
        <v>0</v>
      </c>
      <c r="F3" t="s">
        <v>1</v>
      </c>
      <c r="G3" t="s">
        <v>4</v>
      </c>
      <c r="H3" t="s">
        <v>2</v>
      </c>
      <c r="I3">
        <v>169</v>
      </c>
    </row>
    <row r="4" spans="1:11" x14ac:dyDescent="0.2">
      <c r="A4">
        <v>13</v>
      </c>
      <c r="B4">
        <v>3</v>
      </c>
      <c r="C4">
        <v>1</v>
      </c>
      <c r="D4">
        <v>1</v>
      </c>
      <c r="E4" t="s">
        <v>2</v>
      </c>
      <c r="F4" t="s">
        <v>1</v>
      </c>
      <c r="G4" t="s">
        <v>4</v>
      </c>
      <c r="H4" t="s">
        <v>0</v>
      </c>
      <c r="I4">
        <v>153</v>
      </c>
    </row>
    <row r="5" spans="1:11" x14ac:dyDescent="0.2">
      <c r="A5">
        <v>47</v>
      </c>
      <c r="B5">
        <v>4</v>
      </c>
      <c r="C5">
        <v>1</v>
      </c>
      <c r="D5">
        <v>1</v>
      </c>
      <c r="E5" t="s">
        <v>2</v>
      </c>
      <c r="F5" t="s">
        <v>5</v>
      </c>
      <c r="G5" t="s">
        <v>4</v>
      </c>
      <c r="H5" t="s">
        <v>0</v>
      </c>
      <c r="I5">
        <v>156</v>
      </c>
    </row>
    <row r="6" spans="1:11" x14ac:dyDescent="0.2">
      <c r="A6">
        <v>19</v>
      </c>
      <c r="B6">
        <v>5</v>
      </c>
      <c r="C6">
        <v>1</v>
      </c>
      <c r="D6">
        <v>1</v>
      </c>
      <c r="E6" t="s">
        <v>2</v>
      </c>
      <c r="F6" t="s">
        <v>5</v>
      </c>
      <c r="G6" t="s">
        <v>2</v>
      </c>
      <c r="H6" t="s">
        <v>2</v>
      </c>
      <c r="I6">
        <v>112</v>
      </c>
    </row>
    <row r="7" spans="1:11" x14ac:dyDescent="0.2">
      <c r="A7">
        <v>36</v>
      </c>
      <c r="B7">
        <v>6</v>
      </c>
      <c r="C7">
        <v>1</v>
      </c>
      <c r="D7">
        <v>1</v>
      </c>
      <c r="E7" t="s">
        <v>0</v>
      </c>
      <c r="F7" t="s">
        <v>5</v>
      </c>
      <c r="G7" t="s">
        <v>2</v>
      </c>
      <c r="H7" t="s">
        <v>2</v>
      </c>
      <c r="I7">
        <v>152</v>
      </c>
    </row>
    <row r="8" spans="1:11" x14ac:dyDescent="0.2">
      <c r="A8">
        <v>24</v>
      </c>
      <c r="B8">
        <v>7</v>
      </c>
      <c r="C8">
        <v>1</v>
      </c>
      <c r="D8">
        <v>1</v>
      </c>
      <c r="E8" t="s">
        <v>0</v>
      </c>
      <c r="F8" t="s">
        <v>5</v>
      </c>
      <c r="G8" t="s">
        <v>4</v>
      </c>
      <c r="H8" t="s">
        <v>2</v>
      </c>
      <c r="I8">
        <v>162</v>
      </c>
    </row>
    <row r="9" spans="1:11" x14ac:dyDescent="0.2">
      <c r="A9">
        <v>29</v>
      </c>
      <c r="B9">
        <v>8</v>
      </c>
      <c r="C9">
        <v>1</v>
      </c>
      <c r="D9">
        <v>1</v>
      </c>
      <c r="E9" t="s">
        <v>2</v>
      </c>
      <c r="F9" t="s">
        <v>1</v>
      </c>
      <c r="G9" t="s">
        <v>4</v>
      </c>
      <c r="H9" t="s">
        <v>0</v>
      </c>
      <c r="I9">
        <v>145</v>
      </c>
    </row>
    <row r="10" spans="1:11" x14ac:dyDescent="0.2">
      <c r="A10">
        <v>45</v>
      </c>
      <c r="B10">
        <v>9</v>
      </c>
      <c r="C10">
        <v>1</v>
      </c>
      <c r="D10">
        <v>1</v>
      </c>
      <c r="E10" t="s">
        <v>2</v>
      </c>
      <c r="F10" t="s">
        <v>1</v>
      </c>
      <c r="G10" t="s">
        <v>4</v>
      </c>
      <c r="H10" t="s">
        <v>0</v>
      </c>
      <c r="I10">
        <v>141</v>
      </c>
    </row>
    <row r="11" spans="1:11" x14ac:dyDescent="0.2">
      <c r="A11">
        <v>39</v>
      </c>
      <c r="B11">
        <v>10</v>
      </c>
      <c r="C11">
        <v>1</v>
      </c>
      <c r="D11">
        <v>1</v>
      </c>
      <c r="E11" t="s">
        <v>2</v>
      </c>
      <c r="F11" t="s">
        <v>5</v>
      </c>
      <c r="G11" t="s">
        <v>4</v>
      </c>
      <c r="H11" t="s">
        <v>2</v>
      </c>
      <c r="I11">
        <v>134</v>
      </c>
    </row>
    <row r="12" spans="1:11" x14ac:dyDescent="0.2">
      <c r="A12">
        <v>26</v>
      </c>
      <c r="B12">
        <v>11</v>
      </c>
      <c r="C12">
        <v>1</v>
      </c>
      <c r="D12">
        <v>1</v>
      </c>
      <c r="E12" t="s">
        <v>0</v>
      </c>
      <c r="F12" t="s">
        <v>1</v>
      </c>
      <c r="G12" t="s">
        <v>2</v>
      </c>
      <c r="H12" t="s">
        <v>0</v>
      </c>
      <c r="I12">
        <v>130</v>
      </c>
    </row>
    <row r="13" spans="1:11" x14ac:dyDescent="0.2">
      <c r="A13">
        <v>2</v>
      </c>
      <c r="B13">
        <v>12</v>
      </c>
      <c r="C13">
        <v>1</v>
      </c>
      <c r="D13">
        <v>1</v>
      </c>
      <c r="E13" t="s">
        <v>0</v>
      </c>
      <c r="F13" t="s">
        <v>1</v>
      </c>
      <c r="G13" t="s">
        <v>2</v>
      </c>
      <c r="H13" t="s">
        <v>2</v>
      </c>
      <c r="I13">
        <v>118</v>
      </c>
    </row>
    <row r="14" spans="1:11" x14ac:dyDescent="0.2">
      <c r="A14">
        <v>12</v>
      </c>
      <c r="B14">
        <v>13</v>
      </c>
      <c r="C14">
        <v>1</v>
      </c>
      <c r="D14">
        <v>1</v>
      </c>
      <c r="E14" t="s">
        <v>0</v>
      </c>
      <c r="F14" t="s">
        <v>5</v>
      </c>
      <c r="G14" t="s">
        <v>2</v>
      </c>
      <c r="H14" t="s">
        <v>0</v>
      </c>
      <c r="I14">
        <v>106</v>
      </c>
    </row>
    <row r="15" spans="1:11" x14ac:dyDescent="0.2">
      <c r="A15">
        <v>43</v>
      </c>
      <c r="B15">
        <v>14</v>
      </c>
      <c r="C15">
        <v>1</v>
      </c>
      <c r="D15">
        <v>1</v>
      </c>
      <c r="E15" t="s">
        <v>2</v>
      </c>
      <c r="F15" t="s">
        <v>5</v>
      </c>
      <c r="G15" t="s">
        <v>2</v>
      </c>
      <c r="H15" t="s">
        <v>0</v>
      </c>
      <c r="I15">
        <v>103</v>
      </c>
    </row>
    <row r="16" spans="1:11" x14ac:dyDescent="0.2">
      <c r="A16">
        <v>9</v>
      </c>
      <c r="B16">
        <v>15</v>
      </c>
      <c r="C16">
        <v>1</v>
      </c>
      <c r="D16">
        <v>1</v>
      </c>
      <c r="E16" t="s">
        <v>2</v>
      </c>
      <c r="F16" t="s">
        <v>1</v>
      </c>
      <c r="G16" t="s">
        <v>2</v>
      </c>
      <c r="H16" t="s">
        <v>0</v>
      </c>
      <c r="I16">
        <v>105</v>
      </c>
    </row>
    <row r="17" spans="1:9" x14ac:dyDescent="0.2">
      <c r="A17">
        <v>41</v>
      </c>
      <c r="B17">
        <v>16</v>
      </c>
      <c r="C17">
        <v>1</v>
      </c>
      <c r="D17">
        <v>1</v>
      </c>
      <c r="E17" t="s">
        <v>2</v>
      </c>
      <c r="F17" t="s">
        <v>1</v>
      </c>
      <c r="G17" t="s">
        <v>2</v>
      </c>
      <c r="H17" t="s">
        <v>0</v>
      </c>
      <c r="I17">
        <v>99</v>
      </c>
    </row>
    <row r="18" spans="1:9" x14ac:dyDescent="0.2">
      <c r="A18">
        <v>11</v>
      </c>
      <c r="B18">
        <v>17</v>
      </c>
      <c r="C18">
        <v>1</v>
      </c>
      <c r="D18">
        <v>1</v>
      </c>
      <c r="E18" t="s">
        <v>2</v>
      </c>
      <c r="F18" t="s">
        <v>5</v>
      </c>
      <c r="G18" t="s">
        <v>2</v>
      </c>
      <c r="H18" t="s">
        <v>0</v>
      </c>
      <c r="I18">
        <v>99</v>
      </c>
    </row>
    <row r="19" spans="1:9" x14ac:dyDescent="0.2">
      <c r="A19">
        <v>6</v>
      </c>
      <c r="B19">
        <v>18</v>
      </c>
      <c r="C19">
        <v>1</v>
      </c>
      <c r="D19">
        <v>1</v>
      </c>
      <c r="E19" t="s">
        <v>0</v>
      </c>
      <c r="F19" t="s">
        <v>1</v>
      </c>
      <c r="G19" t="s">
        <v>4</v>
      </c>
      <c r="H19" t="s">
        <v>2</v>
      </c>
      <c r="I19">
        <v>131</v>
      </c>
    </row>
    <row r="20" spans="1:9" x14ac:dyDescent="0.2">
      <c r="A20">
        <v>8</v>
      </c>
      <c r="B20">
        <v>19</v>
      </c>
      <c r="C20">
        <v>1</v>
      </c>
      <c r="D20">
        <v>1</v>
      </c>
      <c r="E20" t="s">
        <v>0</v>
      </c>
      <c r="F20" t="s">
        <v>5</v>
      </c>
      <c r="G20" t="s">
        <v>4</v>
      </c>
      <c r="H20" t="s">
        <v>2</v>
      </c>
      <c r="I20">
        <v>145</v>
      </c>
    </row>
    <row r="21" spans="1:9" x14ac:dyDescent="0.2">
      <c r="A21">
        <v>20</v>
      </c>
      <c r="B21">
        <v>20</v>
      </c>
      <c r="C21">
        <v>1</v>
      </c>
      <c r="D21">
        <v>1</v>
      </c>
      <c r="E21" t="s">
        <v>0</v>
      </c>
      <c r="F21" t="s">
        <v>5</v>
      </c>
      <c r="G21" t="s">
        <v>2</v>
      </c>
      <c r="H21" t="s">
        <v>2</v>
      </c>
      <c r="I21">
        <v>141</v>
      </c>
    </row>
    <row r="22" spans="1:9" x14ac:dyDescent="0.2">
      <c r="A22">
        <v>18</v>
      </c>
      <c r="B22">
        <v>21</v>
      </c>
      <c r="C22">
        <v>1</v>
      </c>
      <c r="D22">
        <v>1</v>
      </c>
      <c r="E22" t="s">
        <v>0</v>
      </c>
      <c r="F22" t="s">
        <v>1</v>
      </c>
      <c r="G22" t="s">
        <v>2</v>
      </c>
      <c r="H22" t="s">
        <v>2</v>
      </c>
      <c r="I22">
        <v>130</v>
      </c>
    </row>
    <row r="23" spans="1:9" x14ac:dyDescent="0.2">
      <c r="A23">
        <v>40</v>
      </c>
      <c r="B23">
        <v>22</v>
      </c>
      <c r="C23">
        <v>1</v>
      </c>
      <c r="D23">
        <v>1</v>
      </c>
      <c r="E23" t="s">
        <v>0</v>
      </c>
      <c r="F23" t="s">
        <v>5</v>
      </c>
      <c r="G23" t="s">
        <v>4</v>
      </c>
      <c r="H23" t="s">
        <v>2</v>
      </c>
      <c r="I23">
        <v>147</v>
      </c>
    </row>
    <row r="24" spans="1:9" x14ac:dyDescent="0.2">
      <c r="A24">
        <v>22</v>
      </c>
      <c r="B24">
        <v>23</v>
      </c>
      <c r="C24">
        <v>1</v>
      </c>
      <c r="D24">
        <v>1</v>
      </c>
      <c r="E24" t="s">
        <v>0</v>
      </c>
      <c r="F24" t="s">
        <v>1</v>
      </c>
      <c r="G24" t="s">
        <v>4</v>
      </c>
      <c r="H24" t="s">
        <v>2</v>
      </c>
      <c r="I24">
        <v>147</v>
      </c>
    </row>
    <row r="25" spans="1:9" x14ac:dyDescent="0.2">
      <c r="A25">
        <v>44</v>
      </c>
      <c r="B25">
        <v>24</v>
      </c>
      <c r="C25">
        <v>1</v>
      </c>
      <c r="D25">
        <v>1</v>
      </c>
      <c r="E25" t="s">
        <v>0</v>
      </c>
      <c r="F25" t="s">
        <v>5</v>
      </c>
      <c r="G25" t="s">
        <v>2</v>
      </c>
      <c r="H25" t="s">
        <v>0</v>
      </c>
      <c r="I25">
        <v>106</v>
      </c>
    </row>
    <row r="26" spans="1:9" x14ac:dyDescent="0.2">
      <c r="A26">
        <v>32</v>
      </c>
      <c r="B26">
        <v>25</v>
      </c>
      <c r="C26">
        <v>1</v>
      </c>
      <c r="D26">
        <v>1</v>
      </c>
      <c r="E26" t="s">
        <v>0</v>
      </c>
      <c r="F26" t="s">
        <v>5</v>
      </c>
      <c r="G26" t="s">
        <v>4</v>
      </c>
      <c r="H26" t="s">
        <v>0</v>
      </c>
      <c r="I26">
        <v>145</v>
      </c>
    </row>
    <row r="27" spans="1:9" x14ac:dyDescent="0.2">
      <c r="A27">
        <v>16</v>
      </c>
      <c r="B27">
        <v>26</v>
      </c>
      <c r="C27">
        <v>1</v>
      </c>
      <c r="D27">
        <v>1</v>
      </c>
      <c r="E27" t="s">
        <v>0</v>
      </c>
      <c r="F27" t="s">
        <v>5</v>
      </c>
      <c r="G27" t="s">
        <v>4</v>
      </c>
      <c r="H27" t="s">
        <v>0</v>
      </c>
      <c r="I27">
        <v>150</v>
      </c>
    </row>
    <row r="28" spans="1:9" x14ac:dyDescent="0.2">
      <c r="A28">
        <v>23</v>
      </c>
      <c r="B28">
        <v>27</v>
      </c>
      <c r="C28">
        <v>1</v>
      </c>
      <c r="D28">
        <v>1</v>
      </c>
      <c r="E28" t="s">
        <v>2</v>
      </c>
      <c r="F28" t="s">
        <v>5</v>
      </c>
      <c r="G28" t="s">
        <v>4</v>
      </c>
      <c r="H28" t="s">
        <v>2</v>
      </c>
      <c r="I28">
        <v>112</v>
      </c>
    </row>
    <row r="29" spans="1:9" x14ac:dyDescent="0.2">
      <c r="A29">
        <v>21</v>
      </c>
      <c r="B29">
        <v>28</v>
      </c>
      <c r="C29">
        <v>1</v>
      </c>
      <c r="D29">
        <v>1</v>
      </c>
      <c r="E29" t="s">
        <v>2</v>
      </c>
      <c r="F29" t="s">
        <v>1</v>
      </c>
      <c r="G29" t="s">
        <v>4</v>
      </c>
      <c r="H29" t="s">
        <v>2</v>
      </c>
      <c r="I29">
        <v>127</v>
      </c>
    </row>
    <row r="30" spans="1:9" x14ac:dyDescent="0.2">
      <c r="A30">
        <v>31</v>
      </c>
      <c r="B30">
        <v>29</v>
      </c>
      <c r="C30">
        <v>1</v>
      </c>
      <c r="D30">
        <v>1</v>
      </c>
      <c r="E30" t="s">
        <v>2</v>
      </c>
      <c r="F30" t="s">
        <v>5</v>
      </c>
      <c r="G30" t="s">
        <v>4</v>
      </c>
      <c r="H30" t="s">
        <v>0</v>
      </c>
      <c r="I30">
        <v>93</v>
      </c>
    </row>
    <row r="31" spans="1:9" x14ac:dyDescent="0.2">
      <c r="A31">
        <v>7</v>
      </c>
      <c r="B31">
        <v>30</v>
      </c>
      <c r="C31">
        <v>1</v>
      </c>
      <c r="D31">
        <v>1</v>
      </c>
      <c r="E31" t="s">
        <v>2</v>
      </c>
      <c r="F31" t="s">
        <v>5</v>
      </c>
      <c r="G31" t="s">
        <v>4</v>
      </c>
      <c r="H31" t="s">
        <v>2</v>
      </c>
      <c r="I31">
        <v>105</v>
      </c>
    </row>
    <row r="32" spans="1:9" x14ac:dyDescent="0.2">
      <c r="A32">
        <v>27</v>
      </c>
      <c r="B32">
        <v>31</v>
      </c>
      <c r="C32">
        <v>1</v>
      </c>
      <c r="D32">
        <v>1</v>
      </c>
      <c r="E32" t="s">
        <v>2</v>
      </c>
      <c r="F32" t="s">
        <v>5</v>
      </c>
      <c r="G32" t="s">
        <v>2</v>
      </c>
      <c r="H32" t="s">
        <v>0</v>
      </c>
      <c r="I32">
        <v>82</v>
      </c>
    </row>
    <row r="33" spans="1:9" x14ac:dyDescent="0.2">
      <c r="A33">
        <v>37</v>
      </c>
      <c r="B33">
        <v>32</v>
      </c>
      <c r="C33">
        <v>1</v>
      </c>
      <c r="D33">
        <v>1</v>
      </c>
      <c r="E33" t="s">
        <v>2</v>
      </c>
      <c r="F33" t="s">
        <v>1</v>
      </c>
      <c r="G33" t="s">
        <v>4</v>
      </c>
      <c r="H33" t="s">
        <v>2</v>
      </c>
      <c r="I33">
        <v>119</v>
      </c>
    </row>
    <row r="34" spans="1:9" x14ac:dyDescent="0.2">
      <c r="A34">
        <v>3</v>
      </c>
      <c r="B34">
        <v>33</v>
      </c>
      <c r="C34">
        <v>1</v>
      </c>
      <c r="D34">
        <v>1</v>
      </c>
      <c r="E34" t="s">
        <v>2</v>
      </c>
      <c r="F34" t="s">
        <v>5</v>
      </c>
      <c r="G34" t="s">
        <v>2</v>
      </c>
      <c r="H34" t="s">
        <v>2</v>
      </c>
      <c r="I34">
        <v>95</v>
      </c>
    </row>
    <row r="35" spans="1:9" x14ac:dyDescent="0.2">
      <c r="A35">
        <v>48</v>
      </c>
      <c r="B35">
        <v>34</v>
      </c>
      <c r="C35">
        <v>1</v>
      </c>
      <c r="D35">
        <v>1</v>
      </c>
      <c r="E35" t="s">
        <v>0</v>
      </c>
      <c r="F35" t="s">
        <v>5</v>
      </c>
      <c r="G35" t="s">
        <v>4</v>
      </c>
      <c r="H35" t="s">
        <v>0</v>
      </c>
      <c r="I35">
        <v>134</v>
      </c>
    </row>
    <row r="36" spans="1:9" x14ac:dyDescent="0.2">
      <c r="A36">
        <v>28</v>
      </c>
      <c r="B36">
        <v>35</v>
      </c>
      <c r="C36">
        <v>1</v>
      </c>
      <c r="D36">
        <v>1</v>
      </c>
      <c r="E36" t="s">
        <v>0</v>
      </c>
      <c r="F36" t="s">
        <v>5</v>
      </c>
      <c r="G36" t="s">
        <v>2</v>
      </c>
      <c r="H36" t="s">
        <v>0</v>
      </c>
      <c r="I36">
        <v>105</v>
      </c>
    </row>
    <row r="37" spans="1:9" x14ac:dyDescent="0.2">
      <c r="A37">
        <v>4</v>
      </c>
      <c r="B37">
        <v>36</v>
      </c>
      <c r="C37">
        <v>1</v>
      </c>
      <c r="D37">
        <v>1</v>
      </c>
      <c r="E37" t="s">
        <v>0</v>
      </c>
      <c r="F37" t="s">
        <v>5</v>
      </c>
      <c r="G37" t="s">
        <v>2</v>
      </c>
      <c r="H37" t="s">
        <v>2</v>
      </c>
      <c r="I37">
        <v>116</v>
      </c>
    </row>
    <row r="38" spans="1:9" x14ac:dyDescent="0.2">
      <c r="A38">
        <v>10</v>
      </c>
      <c r="B38">
        <v>37</v>
      </c>
      <c r="C38">
        <v>1</v>
      </c>
      <c r="D38">
        <v>1</v>
      </c>
      <c r="E38" t="s">
        <v>0</v>
      </c>
      <c r="F38" t="s">
        <v>1</v>
      </c>
      <c r="G38" t="s">
        <v>2</v>
      </c>
      <c r="H38" t="s">
        <v>0</v>
      </c>
      <c r="I38">
        <v>121</v>
      </c>
    </row>
    <row r="39" spans="1:9" x14ac:dyDescent="0.2">
      <c r="A39">
        <v>15</v>
      </c>
      <c r="B39">
        <v>38</v>
      </c>
      <c r="C39">
        <v>1</v>
      </c>
      <c r="D39">
        <v>1</v>
      </c>
      <c r="E39" t="s">
        <v>2</v>
      </c>
      <c r="F39" t="s">
        <v>5</v>
      </c>
      <c r="G39" t="s">
        <v>4</v>
      </c>
      <c r="H39" t="s">
        <v>0</v>
      </c>
      <c r="I39">
        <v>99</v>
      </c>
    </row>
    <row r="40" spans="1:9" x14ac:dyDescent="0.2">
      <c r="A40">
        <v>33</v>
      </c>
      <c r="B40">
        <v>39</v>
      </c>
      <c r="C40">
        <v>1</v>
      </c>
      <c r="D40">
        <v>1</v>
      </c>
      <c r="E40" t="s">
        <v>2</v>
      </c>
      <c r="F40" t="s">
        <v>1</v>
      </c>
      <c r="G40" t="s">
        <v>2</v>
      </c>
      <c r="H40" t="s">
        <v>2</v>
      </c>
      <c r="I40">
        <v>95</v>
      </c>
    </row>
    <row r="41" spans="1:9" x14ac:dyDescent="0.2">
      <c r="A41">
        <v>14</v>
      </c>
      <c r="B41">
        <v>40</v>
      </c>
      <c r="C41">
        <v>1</v>
      </c>
      <c r="D41">
        <v>1</v>
      </c>
      <c r="E41" t="s">
        <v>0</v>
      </c>
      <c r="F41" t="s">
        <v>1</v>
      </c>
      <c r="G41" t="s">
        <v>4</v>
      </c>
      <c r="H41" t="s">
        <v>0</v>
      </c>
      <c r="I41">
        <v>141</v>
      </c>
    </row>
    <row r="42" spans="1:9" x14ac:dyDescent="0.2">
      <c r="A42">
        <v>1</v>
      </c>
      <c r="B42">
        <v>41</v>
      </c>
      <c r="C42">
        <v>1</v>
      </c>
      <c r="D42">
        <v>1</v>
      </c>
      <c r="E42" t="s">
        <v>2</v>
      </c>
      <c r="F42" t="s">
        <v>1</v>
      </c>
      <c r="G42" t="s">
        <v>2</v>
      </c>
      <c r="H42" t="s">
        <v>2</v>
      </c>
      <c r="I42">
        <v>111</v>
      </c>
    </row>
    <row r="43" spans="1:9" x14ac:dyDescent="0.2">
      <c r="A43">
        <v>25</v>
      </c>
      <c r="B43">
        <v>42</v>
      </c>
      <c r="C43">
        <v>1</v>
      </c>
      <c r="D43">
        <v>1</v>
      </c>
      <c r="E43" t="s">
        <v>2</v>
      </c>
      <c r="F43" t="s">
        <v>1</v>
      </c>
      <c r="G43" t="s">
        <v>2</v>
      </c>
      <c r="H43" t="s">
        <v>0</v>
      </c>
      <c r="I43">
        <v>94</v>
      </c>
    </row>
    <row r="44" spans="1:9" x14ac:dyDescent="0.2">
      <c r="A44">
        <v>5</v>
      </c>
      <c r="B44">
        <v>43</v>
      </c>
      <c r="C44">
        <v>1</v>
      </c>
      <c r="D44">
        <v>1</v>
      </c>
      <c r="E44" t="s">
        <v>2</v>
      </c>
      <c r="F44" t="s">
        <v>1</v>
      </c>
      <c r="G44" t="s">
        <v>4</v>
      </c>
      <c r="H44" t="s">
        <v>2</v>
      </c>
      <c r="I44">
        <v>121</v>
      </c>
    </row>
    <row r="45" spans="1:9" x14ac:dyDescent="0.2">
      <c r="A45">
        <v>17</v>
      </c>
      <c r="B45">
        <v>44</v>
      </c>
      <c r="C45">
        <v>1</v>
      </c>
      <c r="D45">
        <v>1</v>
      </c>
      <c r="E45" t="s">
        <v>2</v>
      </c>
      <c r="F45" t="s">
        <v>1</v>
      </c>
      <c r="G45" t="s">
        <v>2</v>
      </c>
      <c r="H45" t="s">
        <v>2</v>
      </c>
      <c r="I45">
        <v>97</v>
      </c>
    </row>
    <row r="46" spans="1:9" x14ac:dyDescent="0.2">
      <c r="A46">
        <v>34</v>
      </c>
      <c r="B46">
        <v>45</v>
      </c>
      <c r="C46">
        <v>1</v>
      </c>
      <c r="D46">
        <v>1</v>
      </c>
      <c r="E46" t="s">
        <v>0</v>
      </c>
      <c r="F46" t="s">
        <v>1</v>
      </c>
      <c r="G46" t="s">
        <v>2</v>
      </c>
      <c r="H46" t="s">
        <v>2</v>
      </c>
      <c r="I46">
        <v>124</v>
      </c>
    </row>
    <row r="47" spans="1:9" x14ac:dyDescent="0.2">
      <c r="A47">
        <v>46</v>
      </c>
      <c r="B47">
        <v>46</v>
      </c>
      <c r="C47">
        <v>1</v>
      </c>
      <c r="D47">
        <v>1</v>
      </c>
      <c r="E47" t="s">
        <v>0</v>
      </c>
      <c r="F47" t="s">
        <v>1</v>
      </c>
      <c r="G47" t="s">
        <v>4</v>
      </c>
      <c r="H47" t="s">
        <v>0</v>
      </c>
      <c r="I47">
        <v>136</v>
      </c>
    </row>
    <row r="48" spans="1:9" x14ac:dyDescent="0.2">
      <c r="A48">
        <v>35</v>
      </c>
      <c r="B48">
        <v>47</v>
      </c>
      <c r="C48">
        <v>1</v>
      </c>
      <c r="D48">
        <v>1</v>
      </c>
      <c r="E48" t="s">
        <v>2</v>
      </c>
      <c r="F48" t="s">
        <v>5</v>
      </c>
      <c r="G48" t="s">
        <v>2</v>
      </c>
      <c r="H48" t="s">
        <v>2</v>
      </c>
      <c r="I48">
        <v>103</v>
      </c>
    </row>
    <row r="49" spans="1:9" x14ac:dyDescent="0.2">
      <c r="A49">
        <v>30</v>
      </c>
      <c r="B49">
        <v>48</v>
      </c>
      <c r="C49">
        <v>1</v>
      </c>
      <c r="D49">
        <v>1</v>
      </c>
      <c r="E49" t="s">
        <v>0</v>
      </c>
      <c r="F49" t="s">
        <v>1</v>
      </c>
      <c r="G49" t="s">
        <v>4</v>
      </c>
      <c r="H49" t="s">
        <v>0</v>
      </c>
      <c r="I49">
        <v>130</v>
      </c>
    </row>
  </sheetData>
  <autoFilter ref="A1:K49" xr:uid="{145BDE14-CCE0-234C-A2E5-4858460C81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Vijaykumar Adke (Student)</dc:creator>
  <cp:lastModifiedBy>Vinit Vijaykumar Adke (Student)</cp:lastModifiedBy>
  <dcterms:created xsi:type="dcterms:W3CDTF">2025-04-29T18:56:32Z</dcterms:created>
  <dcterms:modified xsi:type="dcterms:W3CDTF">2025-05-01T05:42:11Z</dcterms:modified>
</cp:coreProperties>
</file>